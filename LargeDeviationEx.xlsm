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00" yWindow="140" windowWidth="6620" windowHeight="4550"/>
  </bookViews>
  <sheets>
    <sheet name="workup" sheetId="3" r:id="rId1"/>
    <sheet name="Per article" sheetId="4" r:id="rId2"/>
  </sheets>
  <calcPr calcId="124519" fullPrecision="0"/>
</workbook>
</file>

<file path=xl/calcChain.xml><?xml version="1.0" encoding="utf-8"?>
<calcChain xmlns="http://schemas.openxmlformats.org/spreadsheetml/2006/main">
  <c r="C10" i="3"/>
  <c r="D10"/>
  <c r="H13" l="1"/>
  <c r="H16" s="1"/>
  <c r="H17" s="1"/>
  <c r="G13"/>
  <c r="G16" s="1"/>
  <c r="G17" s="1"/>
  <c r="F13"/>
  <c r="F16" s="1"/>
  <c r="F17" s="1"/>
  <c r="E13"/>
  <c r="E16" s="1"/>
  <c r="E17" s="1"/>
  <c r="D13"/>
  <c r="D16" s="1"/>
  <c r="D17" s="1"/>
  <c r="C13"/>
  <c r="C16" s="1"/>
  <c r="C17" s="1"/>
  <c r="E10"/>
  <c r="F10"/>
  <c r="G10"/>
  <c r="H10"/>
  <c r="H4"/>
  <c r="G4"/>
  <c r="F4"/>
  <c r="E4"/>
  <c r="D4"/>
  <c r="C4"/>
  <c r="P6"/>
  <c r="P7" s="1"/>
  <c r="R5"/>
  <c r="S5" s="1"/>
  <c r="Q5"/>
  <c r="H14" l="1"/>
  <c r="G14"/>
  <c r="F14"/>
  <c r="E14"/>
  <c r="D14"/>
  <c r="C14"/>
  <c r="Q7"/>
  <c r="R7"/>
  <c r="P8"/>
  <c r="R6"/>
  <c r="Q6"/>
  <c r="P9" l="1"/>
  <c r="P10" s="1"/>
  <c r="Q8"/>
  <c r="R8"/>
  <c r="S6"/>
  <c r="S7" s="1"/>
  <c r="H9" s="1"/>
  <c r="H11" l="1"/>
  <c r="H18"/>
  <c r="R10"/>
  <c r="Q10"/>
  <c r="Q9"/>
  <c r="R9"/>
  <c r="S8"/>
  <c r="S9" l="1"/>
  <c r="P11"/>
  <c r="G9" l="1"/>
  <c r="S10"/>
  <c r="Q11"/>
  <c r="R11"/>
  <c r="P12"/>
  <c r="P13" s="1"/>
  <c r="G11" l="1"/>
  <c r="S11"/>
  <c r="F9" s="1"/>
  <c r="G18"/>
  <c r="R13"/>
  <c r="Q13"/>
  <c r="Q12"/>
  <c r="R12"/>
  <c r="F11" l="1"/>
  <c r="F18"/>
  <c r="P14"/>
  <c r="S12"/>
  <c r="S13" s="1"/>
  <c r="Q14" l="1"/>
  <c r="R14"/>
  <c r="P15"/>
  <c r="S14" l="1"/>
  <c r="P16"/>
  <c r="Q15"/>
  <c r="R15"/>
  <c r="S15" l="1"/>
  <c r="E9" s="1"/>
  <c r="Q16"/>
  <c r="R16"/>
  <c r="P17"/>
  <c r="E11" l="1"/>
  <c r="E18"/>
  <c r="S16"/>
  <c r="Q17"/>
  <c r="R17"/>
  <c r="P18"/>
  <c r="S17" l="1"/>
  <c r="P19"/>
  <c r="Q18"/>
  <c r="R18"/>
  <c r="S18" l="1"/>
  <c r="Q19"/>
  <c r="R19"/>
  <c r="P20"/>
  <c r="S19" l="1"/>
  <c r="Q20"/>
  <c r="R20"/>
  <c r="P21"/>
  <c r="S20" l="1"/>
  <c r="Q21"/>
  <c r="R21"/>
  <c r="P22"/>
  <c r="S21" l="1"/>
  <c r="Q22"/>
  <c r="R22"/>
  <c r="P23"/>
  <c r="S22" l="1"/>
  <c r="Q23"/>
  <c r="R23"/>
  <c r="P24"/>
  <c r="S23" l="1"/>
  <c r="Q24"/>
  <c r="R24"/>
  <c r="P25"/>
  <c r="S24" l="1"/>
  <c r="Q25"/>
  <c r="R25"/>
  <c r="P26"/>
  <c r="S25" l="1"/>
  <c r="D9" s="1"/>
  <c r="Q26"/>
  <c r="R26"/>
  <c r="P27"/>
  <c r="D11" l="1"/>
  <c r="D18"/>
  <c r="S26"/>
  <c r="Q27"/>
  <c r="R27"/>
  <c r="P28"/>
  <c r="S27" l="1"/>
  <c r="Q28"/>
  <c r="R28"/>
  <c r="P29"/>
  <c r="S28" l="1"/>
  <c r="Q29"/>
  <c r="R29"/>
  <c r="P30"/>
  <c r="S29" l="1"/>
  <c r="C9" s="1"/>
  <c r="Q30"/>
  <c r="R30"/>
  <c r="P31"/>
  <c r="C11" l="1"/>
  <c r="C18"/>
  <c r="S30"/>
  <c r="Q31"/>
  <c r="R31"/>
  <c r="P32"/>
  <c r="P33" l="1"/>
  <c r="R32"/>
  <c r="Q32"/>
  <c r="S31"/>
  <c r="S2"/>
  <c r="S32" l="1"/>
  <c r="P34"/>
  <c r="R33"/>
  <c r="Q33"/>
  <c r="S33" l="1"/>
  <c r="P35"/>
  <c r="R34"/>
  <c r="S34" s="1"/>
  <c r="Q34"/>
  <c r="P36" l="1"/>
  <c r="R35"/>
  <c r="S35" s="1"/>
  <c r="Q35"/>
  <c r="P37" l="1"/>
  <c r="R36"/>
  <c r="S36" s="1"/>
  <c r="Q36"/>
  <c r="P38" l="1"/>
  <c r="R37"/>
  <c r="S37" s="1"/>
  <c r="Q37"/>
  <c r="P39" l="1"/>
  <c r="R38"/>
  <c r="S38" s="1"/>
  <c r="Q38"/>
  <c r="P40" l="1"/>
  <c r="R39"/>
  <c r="S39" s="1"/>
  <c r="Q39"/>
  <c r="P41" l="1"/>
  <c r="R40"/>
  <c r="S40" s="1"/>
  <c r="Q40"/>
  <c r="P42" l="1"/>
  <c r="R41"/>
  <c r="S41" s="1"/>
  <c r="Q41"/>
  <c r="P43" l="1"/>
  <c r="R42"/>
  <c r="S42" s="1"/>
  <c r="Q42"/>
  <c r="P44" l="1"/>
  <c r="R43"/>
  <c r="S43" s="1"/>
  <c r="Q43"/>
  <c r="P45" l="1"/>
  <c r="R44"/>
  <c r="S44" s="1"/>
  <c r="Q44"/>
  <c r="P46" l="1"/>
  <c r="R45"/>
  <c r="S45" s="1"/>
  <c r="Q45"/>
  <c r="P47" l="1"/>
  <c r="R46"/>
  <c r="S46" s="1"/>
  <c r="Q46"/>
  <c r="P48" l="1"/>
  <c r="R47"/>
  <c r="S47" s="1"/>
  <c r="Q47"/>
  <c r="P49" l="1"/>
  <c r="R48"/>
  <c r="S48" s="1"/>
  <c r="Q48"/>
  <c r="P50" l="1"/>
  <c r="R49"/>
  <c r="S49" s="1"/>
  <c r="Q49"/>
  <c r="P51" l="1"/>
  <c r="R50"/>
  <c r="S50" s="1"/>
  <c r="Q50"/>
  <c r="P52" l="1"/>
  <c r="R51"/>
  <c r="S51" s="1"/>
  <c r="Q51"/>
  <c r="P53" l="1"/>
  <c r="R52"/>
  <c r="S52" s="1"/>
  <c r="Q52"/>
  <c r="R53" l="1"/>
  <c r="S53" s="1"/>
  <c r="Q53"/>
</calcChain>
</file>

<file path=xl/sharedStrings.xml><?xml version="1.0" encoding="utf-8"?>
<sst xmlns="http://schemas.openxmlformats.org/spreadsheetml/2006/main" count="36" uniqueCount="34">
  <si>
    <t>n</t>
  </si>
  <si>
    <t>P</t>
  </si>
  <si>
    <t>MD/P</t>
  </si>
  <si>
    <t>LD/P</t>
  </si>
  <si>
    <t>successes</t>
  </si>
  <si>
    <t>proportion</t>
  </si>
  <si>
    <t>probability</t>
  </si>
  <si>
    <t>K Tails</t>
  </si>
  <si>
    <t>k Heads</t>
  </si>
  <si>
    <t>P Heads</t>
  </si>
  <si>
    <t>k</t>
  </si>
  <si>
    <t>1.19e10-5</t>
  </si>
  <si>
    <t>1.62e10-8</t>
  </si>
  <si>
    <t>2.23e10-10</t>
  </si>
  <si>
    <t>1.13e10-12</t>
  </si>
  <si>
    <t>MD Tails</t>
  </si>
  <si>
    <t>a Heads</t>
  </si>
  <si>
    <t>a Tails</t>
  </si>
  <si>
    <t>LD Heads</t>
  </si>
  <si>
    <t>LD/P Heads</t>
  </si>
  <si>
    <t>Rate F Heads</t>
  </si>
  <si>
    <t>MD/P H&amp;T</t>
  </si>
  <si>
    <t>Example in lect1.Introduction within and beyond the normal approximation.  https://m.tau.ac.il/~tsirel/</t>
  </si>
  <si>
    <t>N. of Trials</t>
  </si>
  <si>
    <t>Sucesses Tails</t>
  </si>
  <si>
    <t>Sucesses Heads</t>
  </si>
  <si>
    <t>Cum Probability</t>
  </si>
  <si>
    <t>Medium Deviation</t>
  </si>
  <si>
    <t>LD's a</t>
  </si>
  <si>
    <t>Rate Function</t>
  </si>
  <si>
    <t>Large Deviation</t>
  </si>
  <si>
    <t>Note:  Colored in blue agrees with results in article.</t>
  </si>
  <si>
    <t>Page 2</t>
  </si>
  <si>
    <t>lect1.Introduction within and beyond the normal approximation.  https://m.tau.ac.il/~tsirel/</t>
  </si>
</sst>
</file>

<file path=xl/styles.xml><?xml version="1.0" encoding="utf-8"?>
<styleSheet xmlns="http://schemas.openxmlformats.org/spreadsheetml/2006/main">
  <numFmts count="5">
    <numFmt numFmtId="164" formatCode="0.000000000000"/>
    <numFmt numFmtId="165" formatCode="0.00000"/>
    <numFmt numFmtId="166" formatCode="0.0000000"/>
    <numFmt numFmtId="167" formatCode="0.000000"/>
    <numFmt numFmtId="168" formatCode="0.000000000000000"/>
  </numFmts>
  <fonts count="4">
    <font>
      <sz val="11"/>
      <color theme="1"/>
      <name val="Calibri"/>
      <family val="2"/>
      <scheme val="minor"/>
    </font>
    <font>
      <sz val="11"/>
      <color rgb="FF000000"/>
      <name val="CMR12"/>
    </font>
    <font>
      <sz val="11"/>
      <color rgb="FF000000"/>
      <name val="CMR8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11" fontId="0" fillId="0" borderId="0" xfId="0" applyNumberFormat="1"/>
    <xf numFmtId="0" fontId="0" fillId="0" borderId="0" xfId="0" applyNumberFormat="1"/>
    <xf numFmtId="20" fontId="0" fillId="0" borderId="0" xfId="0" applyNumberFormat="1"/>
    <xf numFmtId="16" fontId="0" fillId="0" borderId="0" xfId="0" applyNumberFormat="1"/>
    <xf numFmtId="0" fontId="0" fillId="0" borderId="0" xfId="0" applyFont="1"/>
    <xf numFmtId="0" fontId="1" fillId="0" borderId="1" xfId="0" applyNumberFormat="1" applyFont="1" applyBorder="1" applyAlignment="1">
      <alignment wrapText="1"/>
    </xf>
    <xf numFmtId="0" fontId="2" fillId="0" borderId="0" xfId="0" applyFont="1"/>
    <xf numFmtId="165" fontId="0" fillId="0" borderId="0" xfId="0" applyNumberFormat="1"/>
    <xf numFmtId="0" fontId="0" fillId="2" borderId="0" xfId="0" applyFill="1"/>
    <xf numFmtId="0" fontId="3" fillId="2" borderId="0" xfId="0" applyFont="1" applyFill="1"/>
    <xf numFmtId="164" fontId="0" fillId="3" borderId="0" xfId="0" quotePrefix="1" applyNumberFormat="1" applyFill="1"/>
    <xf numFmtId="0" fontId="0" fillId="3" borderId="0" xfId="0" applyFill="1"/>
    <xf numFmtId="164" fontId="0" fillId="3" borderId="0" xfId="0" applyNumberFormat="1" applyFill="1"/>
    <xf numFmtId="0" fontId="0" fillId="3" borderId="0" xfId="0" applyFont="1" applyFill="1"/>
    <xf numFmtId="0" fontId="1" fillId="3" borderId="1" xfId="0" applyNumberFormat="1" applyFont="1" applyFill="1" applyBorder="1" applyAlignment="1">
      <alignment wrapText="1"/>
    </xf>
    <xf numFmtId="20" fontId="0" fillId="3" borderId="0" xfId="0" applyNumberFormat="1" applyFill="1"/>
    <xf numFmtId="11" fontId="0" fillId="3" borderId="0" xfId="0" applyNumberFormat="1" applyFill="1"/>
    <xf numFmtId="16" fontId="0" fillId="3" borderId="0" xfId="0" applyNumberFormat="1" applyFill="1"/>
    <xf numFmtId="0" fontId="0" fillId="3" borderId="0" xfId="0" applyNumberFormat="1" applyFill="1"/>
    <xf numFmtId="166" fontId="0" fillId="3" borderId="0" xfId="0" applyNumberFormat="1" applyFill="1"/>
    <xf numFmtId="0" fontId="3" fillId="4" borderId="0" xfId="0" applyFont="1" applyFill="1"/>
    <xf numFmtId="167" fontId="0" fillId="0" borderId="0" xfId="0" applyNumberFormat="1"/>
    <xf numFmtId="168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317500</xdr:colOff>
      <xdr:row>11</xdr:row>
      <xdr:rowOff>177800</xdr:rowOff>
    </xdr:from>
    <xdr:to>
      <xdr:col>9</xdr:col>
      <xdr:colOff>742950</xdr:colOff>
      <xdr:row>15</xdr:row>
      <xdr:rowOff>6350</xdr:rowOff>
    </xdr:to>
    <xdr:pic>
      <xdr:nvPicPr>
        <xdr:cNvPr id="3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410700" y="2203450"/>
          <a:ext cx="1035050" cy="56515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114300</xdr:colOff>
      <xdr:row>4</xdr:row>
      <xdr:rowOff>146050</xdr:rowOff>
    </xdr:from>
    <xdr:to>
      <xdr:col>14</xdr:col>
      <xdr:colOff>565150</xdr:colOff>
      <xdr:row>7</xdr:row>
      <xdr:rowOff>177800</xdr:rowOff>
    </xdr:to>
    <xdr:pic>
      <xdr:nvPicPr>
        <xdr:cNvPr id="4" name="Picture 7"/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0128250" y="882650"/>
          <a:ext cx="4324350" cy="584200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323850</xdr:colOff>
      <xdr:row>8</xdr:row>
      <xdr:rowOff>120650</xdr:rowOff>
    </xdr:from>
    <xdr:to>
      <xdr:col>10</xdr:col>
      <xdr:colOff>433110</xdr:colOff>
      <xdr:row>11</xdr:row>
      <xdr:rowOff>165100</xdr:rowOff>
    </xdr:to>
    <xdr:pic>
      <xdr:nvPicPr>
        <xdr:cNvPr id="1026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10337800" y="1593850"/>
          <a:ext cx="1544360" cy="59690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S77"/>
  <sheetViews>
    <sheetView tabSelected="1" workbookViewId="0">
      <selection activeCell="C16" sqref="C16"/>
    </sheetView>
  </sheetViews>
  <sheetFormatPr defaultRowHeight="14.5"/>
  <cols>
    <col min="1" max="1" width="16.90625" style="10" customWidth="1"/>
    <col min="2" max="2" width="12.6328125" customWidth="1"/>
    <col min="3" max="3" width="15.08984375" bestFit="1" customWidth="1"/>
    <col min="4" max="4" width="25.6328125" customWidth="1"/>
    <col min="5" max="5" width="23.36328125" customWidth="1"/>
    <col min="6" max="6" width="18" customWidth="1"/>
    <col min="7" max="7" width="14.90625" customWidth="1"/>
    <col min="8" max="8" width="16.81640625" customWidth="1"/>
    <col min="10" max="10" width="11.81640625" bestFit="1" customWidth="1"/>
    <col min="16" max="16" width="10.6328125" customWidth="1"/>
    <col min="17" max="17" width="10.7265625" customWidth="1"/>
    <col min="18" max="18" width="11.54296875" customWidth="1"/>
    <col min="19" max="19" width="19.26953125" style="23" customWidth="1"/>
  </cols>
  <sheetData>
    <row r="1" spans="1:19">
      <c r="B1" s="9" t="s">
        <v>22</v>
      </c>
      <c r="C1" s="9"/>
      <c r="D1" s="9"/>
      <c r="E1" s="9"/>
      <c r="F1" s="9"/>
    </row>
    <row r="2" spans="1:19">
      <c r="A2" s="10" t="s">
        <v>23</v>
      </c>
      <c r="B2" t="s">
        <v>0</v>
      </c>
      <c r="C2">
        <v>50</v>
      </c>
      <c r="Q2">
        <v>50</v>
      </c>
      <c r="R2" t="s">
        <v>6</v>
      </c>
      <c r="S2" s="23">
        <f>SUM(R5:R31)</f>
        <v>0.664094483117318</v>
      </c>
    </row>
    <row r="3" spans="1:19">
      <c r="A3" s="10" t="s">
        <v>24</v>
      </c>
      <c r="B3" t="s">
        <v>7</v>
      </c>
      <c r="C3">
        <v>26</v>
      </c>
      <c r="D3">
        <v>30</v>
      </c>
      <c r="E3">
        <v>40</v>
      </c>
      <c r="F3">
        <v>44</v>
      </c>
      <c r="G3">
        <v>46</v>
      </c>
      <c r="H3">
        <v>48</v>
      </c>
      <c r="P3" t="s">
        <v>4</v>
      </c>
      <c r="Q3" t="s">
        <v>5</v>
      </c>
      <c r="R3" t="s">
        <v>6</v>
      </c>
    </row>
    <row r="4" spans="1:19">
      <c r="A4" s="10" t="s">
        <v>25</v>
      </c>
      <c r="B4" t="s">
        <v>8</v>
      </c>
      <c r="C4">
        <f t="shared" ref="C4:H4" si="0">$C$2-C3</f>
        <v>24</v>
      </c>
      <c r="D4">
        <f t="shared" si="0"/>
        <v>20</v>
      </c>
      <c r="E4">
        <f t="shared" si="0"/>
        <v>10</v>
      </c>
      <c r="F4">
        <f t="shared" si="0"/>
        <v>6</v>
      </c>
      <c r="G4">
        <f t="shared" si="0"/>
        <v>4</v>
      </c>
      <c r="H4">
        <f t="shared" si="0"/>
        <v>2</v>
      </c>
    </row>
    <row r="5" spans="1:19">
      <c r="P5">
        <v>0</v>
      </c>
      <c r="Q5">
        <f>P5/$C$2</f>
        <v>0</v>
      </c>
      <c r="R5">
        <f>BINOMDIST(P5,$C$2,0.5,FALSE)</f>
        <v>8.8817841970012405E-16</v>
      </c>
      <c r="S5" s="23">
        <f>R5</f>
        <v>1.0000000000000001E-15</v>
      </c>
    </row>
    <row r="6" spans="1:19">
      <c r="B6" s="9" t="s">
        <v>31</v>
      </c>
      <c r="C6" s="9"/>
      <c r="D6" s="9"/>
      <c r="P6">
        <f>P5+1</f>
        <v>1</v>
      </c>
      <c r="Q6">
        <f t="shared" ref="Q6:Q31" si="1">P6/$C$2</f>
        <v>0.02</v>
      </c>
      <c r="R6">
        <f t="shared" ref="R6:R31" si="2">BINOMDIST(P6,$C$2,0.5,FALSE)</f>
        <v>4.4408920985006299E-14</v>
      </c>
      <c r="S6" s="23">
        <f>R6+S5</f>
        <v>4.4999999999999998E-14</v>
      </c>
    </row>
    <row r="7" spans="1:19">
      <c r="P7">
        <f t="shared" ref="P7:P20" si="3">P6+1</f>
        <v>2</v>
      </c>
      <c r="Q7">
        <f t="shared" si="1"/>
        <v>0.04</v>
      </c>
      <c r="R7">
        <f t="shared" si="2"/>
        <v>1.0880185641326601E-12</v>
      </c>
      <c r="S7" s="23">
        <f t="shared" ref="S7:S31" si="4">R7+S6</f>
        <v>1.1329999999999999E-12</v>
      </c>
    </row>
    <row r="8" spans="1:19">
      <c r="P8">
        <f t="shared" si="3"/>
        <v>3</v>
      </c>
      <c r="Q8">
        <f t="shared" si="1"/>
        <v>0.06</v>
      </c>
      <c r="R8">
        <f t="shared" si="2"/>
        <v>1.74082970261224E-11</v>
      </c>
      <c r="S8" s="23">
        <f t="shared" si="4"/>
        <v>1.8541E-11</v>
      </c>
    </row>
    <row r="9" spans="1:19">
      <c r="A9" s="10" t="s">
        <v>26</v>
      </c>
      <c r="B9" t="s">
        <v>9</v>
      </c>
      <c r="C9" s="22">
        <f>ROUND(S29,3)</f>
        <v>0.44400000000000001</v>
      </c>
      <c r="D9" s="22">
        <f>ROUND(S25,3)</f>
        <v>0.10100000000000001</v>
      </c>
      <c r="E9" s="1">
        <f>S15</f>
        <v>1.19E-5</v>
      </c>
      <c r="F9" s="1">
        <f>S11</f>
        <v>1.6199999999999999E-8</v>
      </c>
      <c r="G9" s="1">
        <f>S9</f>
        <v>2.2300000000000001E-10</v>
      </c>
      <c r="H9" s="1">
        <f>S7</f>
        <v>1.13E-12</v>
      </c>
      <c r="P9">
        <f t="shared" si="3"/>
        <v>4</v>
      </c>
      <c r="Q9">
        <f t="shared" si="1"/>
        <v>0.08</v>
      </c>
      <c r="R9">
        <f t="shared" si="2"/>
        <v>2.04547490056939E-10</v>
      </c>
      <c r="S9" s="23">
        <f t="shared" si="4"/>
        <v>2.2308800000000001E-10</v>
      </c>
    </row>
    <row r="10" spans="1:19">
      <c r="A10" s="10" t="s">
        <v>27</v>
      </c>
      <c r="B10" t="s">
        <v>15</v>
      </c>
      <c r="C10">
        <f t="shared" ref="C10:H10" si="5">1-NORMSDIST((2*C3-1-$C$2)/SQRT($C$2))</f>
        <v>0.44376854199085802</v>
      </c>
      <c r="D10">
        <f t="shared" si="5"/>
        <v>0.101545893788584</v>
      </c>
      <c r="E10">
        <f t="shared" si="5"/>
        <v>2.0548939055453599E-5</v>
      </c>
      <c r="F10">
        <f t="shared" si="5"/>
        <v>8.3575528941892698E-8</v>
      </c>
      <c r="G10">
        <f t="shared" si="5"/>
        <v>3.35001382190114E-9</v>
      </c>
      <c r="H10">
        <f t="shared" si="5"/>
        <v>9.83080283845084E-11</v>
      </c>
      <c r="P10">
        <f t="shared" si="3"/>
        <v>5</v>
      </c>
      <c r="Q10">
        <f t="shared" si="1"/>
        <v>0.1</v>
      </c>
      <c r="R10">
        <f t="shared" si="2"/>
        <v>1.8818369085238398E-9</v>
      </c>
      <c r="S10" s="23">
        <f t="shared" si="4"/>
        <v>2.1049250000000002E-9</v>
      </c>
    </row>
    <row r="11" spans="1:19">
      <c r="B11" s="21" t="s">
        <v>21</v>
      </c>
      <c r="C11" s="21">
        <f t="shared" ref="C11:H11" si="6">C10/C9</f>
        <v>0.99947869817760804</v>
      </c>
      <c r="D11" s="21">
        <f t="shared" si="6"/>
        <v>1.00540488899588</v>
      </c>
      <c r="E11" s="21">
        <f t="shared" si="6"/>
        <v>1.72680160129862</v>
      </c>
      <c r="F11" s="21">
        <f t="shared" si="6"/>
        <v>5.1589832680180701</v>
      </c>
      <c r="G11" s="21">
        <f t="shared" si="6"/>
        <v>15.0224835062831</v>
      </c>
      <c r="H11" s="21">
        <f t="shared" si="6"/>
        <v>86.998255207529596</v>
      </c>
      <c r="P11">
        <f>P10+1</f>
        <v>6</v>
      </c>
      <c r="Q11">
        <f t="shared" si="1"/>
        <v>0.12</v>
      </c>
      <c r="R11">
        <f t="shared" si="2"/>
        <v>1.41137768139288E-8</v>
      </c>
      <c r="S11" s="23">
        <f>R11+S10</f>
        <v>1.6218701999999999E-8</v>
      </c>
    </row>
    <row r="12" spans="1:19">
      <c r="P12">
        <f t="shared" si="3"/>
        <v>7</v>
      </c>
      <c r="Q12">
        <f t="shared" si="1"/>
        <v>0.14000000000000001</v>
      </c>
      <c r="R12">
        <f t="shared" si="2"/>
        <v>8.8715168544695295E-8</v>
      </c>
      <c r="S12" s="23">
        <f t="shared" si="4"/>
        <v>1.04933871E-7</v>
      </c>
    </row>
    <row r="13" spans="1:19">
      <c r="A13" s="10" t="s">
        <v>28</v>
      </c>
      <c r="B13" t="s">
        <v>16</v>
      </c>
      <c r="C13">
        <f t="shared" ref="C13:H14" si="7">(2*C3-$C$2)/$C$2</f>
        <v>0.04</v>
      </c>
      <c r="D13">
        <f t="shared" si="7"/>
        <v>0.2</v>
      </c>
      <c r="E13">
        <f t="shared" si="7"/>
        <v>0.6</v>
      </c>
      <c r="F13">
        <f t="shared" si="7"/>
        <v>0.76</v>
      </c>
      <c r="G13">
        <f t="shared" si="7"/>
        <v>0.84</v>
      </c>
      <c r="H13">
        <f t="shared" si="7"/>
        <v>0.92</v>
      </c>
      <c r="P13">
        <f t="shared" si="3"/>
        <v>8</v>
      </c>
      <c r="Q13">
        <f t="shared" si="1"/>
        <v>0.16</v>
      </c>
      <c r="R13">
        <f t="shared" si="2"/>
        <v>4.7684403092773696E-7</v>
      </c>
      <c r="S13" s="23">
        <f t="shared" si="4"/>
        <v>5.8177790199999997E-7</v>
      </c>
    </row>
    <row r="14" spans="1:19">
      <c r="A14" s="10" t="s">
        <v>28</v>
      </c>
      <c r="B14" t="s">
        <v>17</v>
      </c>
      <c r="C14">
        <f t="shared" si="7"/>
        <v>-0.04</v>
      </c>
      <c r="D14">
        <f t="shared" si="7"/>
        <v>-0.2</v>
      </c>
      <c r="E14">
        <f t="shared" si="7"/>
        <v>-0.6</v>
      </c>
      <c r="F14">
        <f t="shared" si="7"/>
        <v>-0.76</v>
      </c>
      <c r="G14">
        <f t="shared" si="7"/>
        <v>-0.84</v>
      </c>
      <c r="H14">
        <f t="shared" si="7"/>
        <v>-0.92</v>
      </c>
      <c r="P14">
        <f>P13+1</f>
        <v>9</v>
      </c>
      <c r="Q14">
        <f t="shared" si="1"/>
        <v>0.18</v>
      </c>
      <c r="R14">
        <f t="shared" si="2"/>
        <v>2.2252721443294402E-6</v>
      </c>
      <c r="S14" s="23">
        <f>R14+S13</f>
        <v>2.807050046E-6</v>
      </c>
    </row>
    <row r="15" spans="1:19">
      <c r="P15">
        <f t="shared" si="3"/>
        <v>10</v>
      </c>
      <c r="Q15">
        <f t="shared" si="1"/>
        <v>0.2</v>
      </c>
      <c r="R15">
        <f t="shared" si="2"/>
        <v>9.1236157917506893E-6</v>
      </c>
      <c r="S15" s="23">
        <f t="shared" si="4"/>
        <v>1.1930665838E-5</v>
      </c>
    </row>
    <row r="16" spans="1:19">
      <c r="A16" s="10" t="s">
        <v>29</v>
      </c>
      <c r="B16" t="s">
        <v>20</v>
      </c>
      <c r="C16">
        <f t="shared" ref="C16:H16" si="8">0.5*(1+C13)*LN(1+C13)+0.5*(1-C13)*LN(1-C13)</f>
        <v>8.0021346998381297E-4</v>
      </c>
      <c r="D16">
        <f t="shared" si="8"/>
        <v>2.0135513550688901E-2</v>
      </c>
      <c r="E16">
        <f t="shared" si="8"/>
        <v>0.192744757021758</v>
      </c>
      <c r="F16">
        <f t="shared" si="8"/>
        <v>0.32622218928723601</v>
      </c>
      <c r="G16">
        <f t="shared" si="8"/>
        <v>0.41437780879135799</v>
      </c>
      <c r="H16">
        <f t="shared" si="8"/>
        <v>0.52520303282577196</v>
      </c>
      <c r="P16">
        <f t="shared" si="3"/>
        <v>11</v>
      </c>
      <c r="Q16">
        <f t="shared" si="1"/>
        <v>0.22</v>
      </c>
      <c r="R16">
        <f t="shared" si="2"/>
        <v>3.31767846972753E-5</v>
      </c>
      <c r="S16" s="23">
        <f t="shared" si="4"/>
        <v>4.5107450535E-5</v>
      </c>
    </row>
    <row r="17" spans="1:19">
      <c r="A17" s="10" t="s">
        <v>30</v>
      </c>
      <c r="B17" t="s">
        <v>18</v>
      </c>
      <c r="C17">
        <f t="shared" ref="C17:H17" si="9">EXP(-$C$2*C16)</f>
        <v>0.96077918422175002</v>
      </c>
      <c r="D17">
        <f t="shared" si="9"/>
        <v>0.365395234302962</v>
      </c>
      <c r="E17">
        <f t="shared" si="9"/>
        <v>6.5253044679983394E-5</v>
      </c>
      <c r="F17">
        <f t="shared" si="9"/>
        <v>8.2447058531559797E-8</v>
      </c>
      <c r="G17">
        <f t="shared" si="9"/>
        <v>1.00438498340541E-9</v>
      </c>
      <c r="H17">
        <f t="shared" si="9"/>
        <v>3.9387738710660199E-12</v>
      </c>
      <c r="P17">
        <f t="shared" si="3"/>
        <v>12</v>
      </c>
      <c r="Q17">
        <f t="shared" si="1"/>
        <v>0.24</v>
      </c>
      <c r="R17">
        <f t="shared" si="2"/>
        <v>1.07824550266145E-4</v>
      </c>
      <c r="S17" s="23">
        <f t="shared" si="4"/>
        <v>1.5293200080099999E-4</v>
      </c>
    </row>
    <row r="18" spans="1:19">
      <c r="B18" s="21" t="s">
        <v>19</v>
      </c>
      <c r="C18" s="21">
        <f t="shared" ref="C18:H18" si="10">ROUND(C17/C9,1)</f>
        <v>2.2000000000000002</v>
      </c>
      <c r="D18" s="21">
        <f t="shared" si="10"/>
        <v>3.6</v>
      </c>
      <c r="E18" s="21">
        <f t="shared" si="10"/>
        <v>5.5</v>
      </c>
      <c r="F18" s="21">
        <f t="shared" si="10"/>
        <v>5.0999999999999996</v>
      </c>
      <c r="G18" s="21">
        <f t="shared" si="10"/>
        <v>4.5</v>
      </c>
      <c r="H18" s="21">
        <f t="shared" si="10"/>
        <v>3.5</v>
      </c>
      <c r="P18">
        <f t="shared" si="3"/>
        <v>13</v>
      </c>
      <c r="Q18">
        <f t="shared" si="1"/>
        <v>0.26</v>
      </c>
      <c r="R18">
        <f t="shared" si="2"/>
        <v>3.1517945462411598E-4</v>
      </c>
      <c r="S18" s="23">
        <f t="shared" si="4"/>
        <v>4.6811145542500002E-4</v>
      </c>
    </row>
    <row r="19" spans="1:19">
      <c r="P19">
        <f t="shared" si="3"/>
        <v>14</v>
      </c>
      <c r="Q19">
        <f t="shared" si="1"/>
        <v>0.28000000000000003</v>
      </c>
      <c r="R19">
        <f t="shared" si="2"/>
        <v>8.3297427293516101E-4</v>
      </c>
      <c r="S19" s="23">
        <f t="shared" si="4"/>
        <v>1.3010857283599999E-3</v>
      </c>
    </row>
    <row r="20" spans="1:19">
      <c r="P20">
        <f t="shared" si="3"/>
        <v>15</v>
      </c>
      <c r="Q20">
        <f t="shared" si="1"/>
        <v>0.3</v>
      </c>
      <c r="R20">
        <f t="shared" si="2"/>
        <v>1.9991382550443898E-3</v>
      </c>
      <c r="S20" s="23">
        <f t="shared" si="4"/>
        <v>3.3002239834039999E-3</v>
      </c>
    </row>
    <row r="21" spans="1:19">
      <c r="P21">
        <f>P20+1</f>
        <v>16</v>
      </c>
      <c r="Q21">
        <f t="shared" si="1"/>
        <v>0.32</v>
      </c>
      <c r="R21">
        <f t="shared" si="2"/>
        <v>4.3731149329096003E-3</v>
      </c>
      <c r="S21" s="23">
        <f t="shared" si="4"/>
        <v>7.6733389163140004E-3</v>
      </c>
    </row>
    <row r="22" spans="1:19">
      <c r="P22">
        <f>P21+1</f>
        <v>17</v>
      </c>
      <c r="Q22">
        <f t="shared" si="1"/>
        <v>0.34</v>
      </c>
      <c r="R22">
        <f t="shared" si="2"/>
        <v>8.7462298658192092E-3</v>
      </c>
      <c r="S22" s="23">
        <f t="shared" si="4"/>
        <v>1.6419568782133E-2</v>
      </c>
    </row>
    <row r="23" spans="1:19">
      <c r="P23">
        <f t="shared" ref="P23:P53" si="11">P22+1</f>
        <v>18</v>
      </c>
      <c r="Q23">
        <f t="shared" si="1"/>
        <v>0.36</v>
      </c>
      <c r="R23">
        <f t="shared" si="2"/>
        <v>1.6034754754001901E-2</v>
      </c>
      <c r="S23" s="23">
        <f t="shared" si="4"/>
        <v>3.2454323536134998E-2</v>
      </c>
    </row>
    <row r="24" spans="1:19">
      <c r="P24">
        <f t="shared" si="11"/>
        <v>19</v>
      </c>
      <c r="Q24">
        <f t="shared" si="1"/>
        <v>0.38</v>
      </c>
      <c r="R24">
        <f t="shared" si="2"/>
        <v>2.7005902743582E-2</v>
      </c>
      <c r="S24" s="23">
        <f t="shared" si="4"/>
        <v>5.9460226279716998E-2</v>
      </c>
    </row>
    <row r="25" spans="1:19">
      <c r="E25" s="8"/>
      <c r="P25">
        <f t="shared" si="11"/>
        <v>20</v>
      </c>
      <c r="Q25">
        <f t="shared" si="1"/>
        <v>0.4</v>
      </c>
      <c r="R25">
        <f t="shared" si="2"/>
        <v>4.18591492525522E-2</v>
      </c>
      <c r="S25" s="23">
        <f t="shared" si="4"/>
        <v>0.101319375532269</v>
      </c>
    </row>
    <row r="26" spans="1:19">
      <c r="P26">
        <f t="shared" si="11"/>
        <v>21</v>
      </c>
      <c r="Q26">
        <f t="shared" si="1"/>
        <v>0.42</v>
      </c>
      <c r="R26">
        <f t="shared" si="2"/>
        <v>5.9798784646503102E-2</v>
      </c>
      <c r="S26" s="23">
        <f t="shared" si="4"/>
        <v>0.16111816017877201</v>
      </c>
    </row>
    <row r="27" spans="1:19">
      <c r="B27" s="12"/>
      <c r="C27" s="12"/>
      <c r="D27" s="12"/>
      <c r="E27" s="12"/>
      <c r="F27" s="12"/>
      <c r="G27" s="12"/>
      <c r="H27" s="12"/>
      <c r="P27">
        <f t="shared" si="11"/>
        <v>22</v>
      </c>
      <c r="Q27">
        <f t="shared" si="1"/>
        <v>0.44</v>
      </c>
      <c r="R27">
        <f t="shared" si="2"/>
        <v>7.8825670670390494E-2</v>
      </c>
      <c r="S27" s="23">
        <f t="shared" si="4"/>
        <v>0.23994383084916199</v>
      </c>
    </row>
    <row r="28" spans="1:19">
      <c r="B28" s="12"/>
      <c r="C28" s="11"/>
      <c r="D28" s="11"/>
      <c r="E28" s="11"/>
      <c r="F28" s="11"/>
      <c r="G28" s="11"/>
      <c r="H28" s="11"/>
      <c r="P28">
        <f t="shared" si="11"/>
        <v>23</v>
      </c>
      <c r="Q28">
        <f t="shared" si="1"/>
        <v>0.46</v>
      </c>
      <c r="R28">
        <f t="shared" si="2"/>
        <v>9.5961686033518803E-2</v>
      </c>
      <c r="S28" s="23">
        <f t="shared" si="4"/>
        <v>0.335905516882681</v>
      </c>
    </row>
    <row r="29" spans="1:19">
      <c r="B29" s="12"/>
      <c r="C29" s="13"/>
      <c r="D29" s="13"/>
      <c r="E29" s="13"/>
      <c r="F29" s="13"/>
      <c r="G29" s="13"/>
      <c r="H29" s="13"/>
      <c r="P29">
        <f t="shared" si="11"/>
        <v>24</v>
      </c>
      <c r="Q29">
        <f t="shared" si="1"/>
        <v>0.48</v>
      </c>
      <c r="R29">
        <f t="shared" si="2"/>
        <v>0.10795689678770901</v>
      </c>
      <c r="S29" s="23">
        <f t="shared" si="4"/>
        <v>0.44386241367038998</v>
      </c>
    </row>
    <row r="30" spans="1:19">
      <c r="B30" s="12"/>
      <c r="C30" s="12"/>
      <c r="D30" s="12"/>
      <c r="E30" s="12"/>
      <c r="F30" s="12"/>
      <c r="G30" s="12"/>
      <c r="H30" s="12"/>
      <c r="P30">
        <f>P29+1</f>
        <v>25</v>
      </c>
      <c r="Q30">
        <f t="shared" si="1"/>
        <v>0.5</v>
      </c>
      <c r="R30">
        <f t="shared" si="2"/>
        <v>0.11227517265921701</v>
      </c>
      <c r="S30" s="23">
        <f>R30+S29</f>
        <v>0.55613758632960697</v>
      </c>
    </row>
    <row r="31" spans="1:19">
      <c r="B31" s="12"/>
      <c r="C31" s="12"/>
      <c r="D31" s="12"/>
      <c r="E31" s="12"/>
      <c r="F31" s="12"/>
      <c r="G31" s="12"/>
      <c r="H31" s="12"/>
      <c r="P31">
        <f t="shared" si="11"/>
        <v>26</v>
      </c>
      <c r="Q31">
        <f t="shared" si="1"/>
        <v>0.52</v>
      </c>
      <c r="R31">
        <f t="shared" si="2"/>
        <v>0.10795689678770901</v>
      </c>
      <c r="S31" s="23">
        <f t="shared" si="4"/>
        <v>0.664094483117316</v>
      </c>
    </row>
    <row r="32" spans="1:19">
      <c r="B32" s="12"/>
      <c r="C32" s="13"/>
      <c r="D32" s="13"/>
      <c r="E32" s="13"/>
      <c r="F32" s="13"/>
      <c r="G32" s="13"/>
      <c r="H32" s="13"/>
      <c r="P32">
        <f t="shared" si="11"/>
        <v>27</v>
      </c>
      <c r="Q32">
        <f t="shared" ref="Q32:Q53" si="12">P32/$C$2</f>
        <v>0.54</v>
      </c>
      <c r="R32">
        <f t="shared" ref="R32:R53" si="13">BINOMDIST(P32,$C$2,0.5,FALSE)</f>
        <v>9.5961686033518803E-2</v>
      </c>
      <c r="S32" s="23">
        <f t="shared" ref="S32:S53" si="14">R32+S31</f>
        <v>0.76005616915083496</v>
      </c>
    </row>
    <row r="33" spans="2:19">
      <c r="B33" s="12"/>
      <c r="C33" s="12"/>
      <c r="D33" s="12"/>
      <c r="E33" s="12"/>
      <c r="F33" s="12"/>
      <c r="G33" s="12"/>
      <c r="H33" s="12"/>
      <c r="P33">
        <f t="shared" si="11"/>
        <v>28</v>
      </c>
      <c r="Q33">
        <f t="shared" si="12"/>
        <v>0.56000000000000005</v>
      </c>
      <c r="R33">
        <f t="shared" si="13"/>
        <v>7.8825670670390494E-2</v>
      </c>
      <c r="S33" s="23">
        <f t="shared" si="14"/>
        <v>0.83888183982122499</v>
      </c>
    </row>
    <row r="34" spans="2:19">
      <c r="B34" s="12"/>
      <c r="C34" s="12"/>
      <c r="D34" s="12"/>
      <c r="E34" s="12"/>
      <c r="F34" s="12"/>
      <c r="G34" s="12"/>
      <c r="H34" s="12"/>
      <c r="P34">
        <f t="shared" si="11"/>
        <v>29</v>
      </c>
      <c r="Q34">
        <f t="shared" si="12"/>
        <v>0.57999999999999996</v>
      </c>
      <c r="R34">
        <f t="shared" si="13"/>
        <v>5.9798784646503102E-2</v>
      </c>
      <c r="S34" s="23">
        <f t="shared" si="14"/>
        <v>0.89868062446772801</v>
      </c>
    </row>
    <row r="35" spans="2:19">
      <c r="B35" s="12"/>
      <c r="C35" s="12"/>
      <c r="D35" s="12"/>
      <c r="E35" s="12"/>
      <c r="F35" s="12"/>
      <c r="G35" s="12"/>
      <c r="H35" s="12"/>
      <c r="P35">
        <f t="shared" si="11"/>
        <v>30</v>
      </c>
      <c r="Q35">
        <f t="shared" si="12"/>
        <v>0.6</v>
      </c>
      <c r="R35">
        <f t="shared" si="13"/>
        <v>4.18591492525522E-2</v>
      </c>
      <c r="S35" s="23">
        <f t="shared" si="14"/>
        <v>0.94053977372027997</v>
      </c>
    </row>
    <row r="36" spans="2:19">
      <c r="B36" s="12"/>
      <c r="C36" s="12"/>
      <c r="D36" s="12"/>
      <c r="E36" s="12"/>
      <c r="F36" s="12"/>
      <c r="G36" s="12"/>
      <c r="H36" s="12"/>
      <c r="P36">
        <f t="shared" si="11"/>
        <v>31</v>
      </c>
      <c r="Q36">
        <f t="shared" si="12"/>
        <v>0.62</v>
      </c>
      <c r="R36">
        <f t="shared" si="13"/>
        <v>2.7005902743582E-2</v>
      </c>
      <c r="S36" s="23">
        <f t="shared" si="14"/>
        <v>0.96754567646386203</v>
      </c>
    </row>
    <row r="37" spans="2:19">
      <c r="B37" s="12"/>
      <c r="C37" s="12"/>
      <c r="D37" s="12"/>
      <c r="E37" s="12"/>
      <c r="F37" s="12"/>
      <c r="G37" s="12"/>
      <c r="H37" s="12"/>
      <c r="P37">
        <f t="shared" si="11"/>
        <v>32</v>
      </c>
      <c r="Q37">
        <f t="shared" si="12"/>
        <v>0.64</v>
      </c>
      <c r="R37">
        <f t="shared" si="13"/>
        <v>1.6034754754001901E-2</v>
      </c>
      <c r="S37" s="23">
        <f t="shared" si="14"/>
        <v>0.98358043121786398</v>
      </c>
    </row>
    <row r="38" spans="2:19">
      <c r="B38" s="12"/>
      <c r="C38" s="14"/>
      <c r="D38" s="14"/>
      <c r="E38" s="12"/>
      <c r="F38" s="12"/>
      <c r="G38" s="12"/>
      <c r="H38" s="12"/>
      <c r="P38">
        <f t="shared" si="11"/>
        <v>33</v>
      </c>
      <c r="Q38">
        <f t="shared" si="12"/>
        <v>0.66</v>
      </c>
      <c r="R38">
        <f t="shared" si="13"/>
        <v>8.7462298658192092E-3</v>
      </c>
      <c r="S38" s="23">
        <f t="shared" si="14"/>
        <v>0.99232666108368295</v>
      </c>
    </row>
    <row r="39" spans="2:19">
      <c r="B39" s="12"/>
      <c r="C39" s="15"/>
      <c r="D39" s="14"/>
      <c r="E39" s="16"/>
      <c r="F39" s="17"/>
      <c r="G39" s="18"/>
      <c r="H39" s="19"/>
      <c r="P39">
        <f t="shared" si="11"/>
        <v>34</v>
      </c>
      <c r="Q39">
        <f t="shared" si="12"/>
        <v>0.68</v>
      </c>
      <c r="R39">
        <f t="shared" si="13"/>
        <v>4.3731149329096003E-3</v>
      </c>
      <c r="S39" s="23">
        <f t="shared" si="14"/>
        <v>0.99669977601659299</v>
      </c>
    </row>
    <row r="40" spans="2:19">
      <c r="B40" s="12"/>
      <c r="C40" s="12"/>
      <c r="D40" s="12"/>
      <c r="E40" s="12"/>
      <c r="F40" s="12"/>
      <c r="G40" s="12"/>
      <c r="H40" s="12"/>
      <c r="P40">
        <f t="shared" si="11"/>
        <v>35</v>
      </c>
      <c r="Q40">
        <f t="shared" si="12"/>
        <v>0.7</v>
      </c>
      <c r="R40">
        <f t="shared" si="13"/>
        <v>1.9991382550443898E-3</v>
      </c>
      <c r="S40" s="23">
        <f t="shared" si="14"/>
        <v>0.99869891427163704</v>
      </c>
    </row>
    <row r="41" spans="2:19">
      <c r="B41" s="12"/>
      <c r="C41" s="20"/>
      <c r="D41" s="20"/>
      <c r="E41" s="20"/>
      <c r="F41" s="20"/>
      <c r="G41" s="20"/>
      <c r="H41" s="20"/>
      <c r="P41">
        <f t="shared" si="11"/>
        <v>36</v>
      </c>
      <c r="Q41">
        <f t="shared" si="12"/>
        <v>0.72</v>
      </c>
      <c r="R41">
        <f t="shared" si="13"/>
        <v>8.3297427293516101E-4</v>
      </c>
      <c r="S41" s="23">
        <f t="shared" si="14"/>
        <v>0.99953188854457198</v>
      </c>
    </row>
    <row r="42" spans="2:19">
      <c r="B42" s="12"/>
      <c r="C42" s="12"/>
      <c r="D42" s="12"/>
      <c r="E42" s="12"/>
      <c r="F42" s="12"/>
      <c r="G42" s="12"/>
      <c r="H42" s="12"/>
      <c r="P42">
        <f t="shared" si="11"/>
        <v>37</v>
      </c>
      <c r="Q42">
        <f t="shared" si="12"/>
        <v>0.74</v>
      </c>
      <c r="R42">
        <f t="shared" si="13"/>
        <v>3.1517945462411598E-4</v>
      </c>
      <c r="S42" s="23">
        <f t="shared" si="14"/>
        <v>0.99984706799919598</v>
      </c>
    </row>
    <row r="43" spans="2:19">
      <c r="B43" s="12"/>
      <c r="C43" s="20"/>
      <c r="D43" s="20"/>
      <c r="E43" s="20"/>
      <c r="F43" s="20"/>
      <c r="G43" s="20"/>
      <c r="H43" s="20"/>
      <c r="P43">
        <f t="shared" si="11"/>
        <v>38</v>
      </c>
      <c r="Q43">
        <f t="shared" si="12"/>
        <v>0.76</v>
      </c>
      <c r="R43">
        <f t="shared" si="13"/>
        <v>1.07824550266145E-4</v>
      </c>
      <c r="S43" s="23">
        <f t="shared" si="14"/>
        <v>0.99995489254946202</v>
      </c>
    </row>
    <row r="44" spans="2:19">
      <c r="B44" s="12"/>
      <c r="C44" s="12"/>
      <c r="D44" s="12"/>
      <c r="E44" s="12"/>
      <c r="F44" s="12"/>
      <c r="G44" s="12"/>
      <c r="H44" s="12"/>
      <c r="P44">
        <f t="shared" si="11"/>
        <v>39</v>
      </c>
      <c r="Q44">
        <f t="shared" si="12"/>
        <v>0.78</v>
      </c>
      <c r="R44">
        <f t="shared" si="13"/>
        <v>3.31767846972753E-5</v>
      </c>
      <c r="S44" s="23">
        <f t="shared" si="14"/>
        <v>0.99998806933415896</v>
      </c>
    </row>
    <row r="45" spans="2:19">
      <c r="B45" s="12"/>
      <c r="C45" s="12"/>
      <c r="D45" s="12"/>
      <c r="E45" s="12"/>
      <c r="F45" s="12"/>
      <c r="G45" s="12"/>
      <c r="H45" s="12"/>
      <c r="P45">
        <f t="shared" si="11"/>
        <v>40</v>
      </c>
      <c r="Q45">
        <f t="shared" si="12"/>
        <v>0.8</v>
      </c>
      <c r="R45">
        <f t="shared" si="13"/>
        <v>9.1236157917506893E-6</v>
      </c>
      <c r="S45" s="23">
        <f t="shared" si="14"/>
        <v>0.99999719294995104</v>
      </c>
    </row>
    <row r="46" spans="2:19">
      <c r="B46" s="12"/>
      <c r="C46" s="12"/>
      <c r="D46" s="12"/>
      <c r="E46" s="12"/>
      <c r="F46" s="12"/>
      <c r="G46" s="12"/>
      <c r="H46" s="12"/>
      <c r="P46">
        <f t="shared" si="11"/>
        <v>41</v>
      </c>
      <c r="Q46">
        <f t="shared" si="12"/>
        <v>0.82</v>
      </c>
      <c r="R46">
        <f t="shared" si="13"/>
        <v>2.2252721443294402E-6</v>
      </c>
      <c r="S46" s="23">
        <f t="shared" si="14"/>
        <v>0.99999941822209504</v>
      </c>
    </row>
    <row r="47" spans="2:19">
      <c r="B47" s="12"/>
      <c r="C47" s="12"/>
      <c r="D47" s="12"/>
      <c r="E47" s="12"/>
      <c r="F47" s="12"/>
      <c r="G47" s="12"/>
      <c r="H47" s="12"/>
      <c r="P47">
        <f t="shared" si="11"/>
        <v>42</v>
      </c>
      <c r="Q47">
        <f t="shared" si="12"/>
        <v>0.84</v>
      </c>
      <c r="R47">
        <f t="shared" si="13"/>
        <v>4.7684403092773696E-7</v>
      </c>
      <c r="S47" s="23">
        <f t="shared" si="14"/>
        <v>0.99999989506612597</v>
      </c>
    </row>
    <row r="48" spans="2:19">
      <c r="B48" s="12"/>
      <c r="C48" s="19"/>
      <c r="D48" s="12"/>
      <c r="E48" s="12"/>
      <c r="F48" s="12"/>
      <c r="G48" s="12"/>
      <c r="H48" s="12"/>
      <c r="P48">
        <f t="shared" si="11"/>
        <v>43</v>
      </c>
      <c r="Q48">
        <f t="shared" si="12"/>
        <v>0.86</v>
      </c>
      <c r="R48">
        <f t="shared" si="13"/>
        <v>8.8715168544695295E-8</v>
      </c>
      <c r="S48" s="23">
        <f t="shared" si="14"/>
        <v>0.99999998378129495</v>
      </c>
    </row>
    <row r="49" spans="2:19">
      <c r="B49" s="12"/>
      <c r="C49" s="12"/>
      <c r="D49" s="12"/>
      <c r="E49" s="12"/>
      <c r="F49" s="12"/>
      <c r="G49" s="12"/>
      <c r="H49" s="12"/>
      <c r="P49">
        <f t="shared" si="11"/>
        <v>44</v>
      </c>
      <c r="Q49">
        <f t="shared" si="12"/>
        <v>0.88</v>
      </c>
      <c r="R49">
        <f t="shared" si="13"/>
        <v>1.41137768139288E-8</v>
      </c>
      <c r="S49" s="23">
        <f t="shared" si="14"/>
        <v>0.99999999789507199</v>
      </c>
    </row>
    <row r="50" spans="2:19">
      <c r="B50" s="12"/>
      <c r="C50" s="12"/>
      <c r="D50" s="12"/>
      <c r="E50" s="12"/>
      <c r="F50" s="12"/>
      <c r="G50" s="12"/>
      <c r="H50" s="12"/>
      <c r="P50">
        <f t="shared" si="11"/>
        <v>45</v>
      </c>
      <c r="Q50">
        <f t="shared" si="12"/>
        <v>0.9</v>
      </c>
      <c r="R50">
        <f t="shared" si="13"/>
        <v>1.8818369085238398E-9</v>
      </c>
      <c r="S50" s="23">
        <f t="shared" si="14"/>
        <v>0.99999999977690901</v>
      </c>
    </row>
    <row r="51" spans="2:19">
      <c r="B51" s="12"/>
      <c r="C51" s="12"/>
      <c r="D51" s="12"/>
      <c r="E51" s="12"/>
      <c r="F51" s="12"/>
      <c r="G51" s="12"/>
      <c r="H51" s="12"/>
      <c r="P51">
        <f t="shared" si="11"/>
        <v>46</v>
      </c>
      <c r="Q51">
        <f t="shared" si="12"/>
        <v>0.92</v>
      </c>
      <c r="R51">
        <f t="shared" si="13"/>
        <v>2.04547490056939E-10</v>
      </c>
      <c r="S51" s="23">
        <f t="shared" si="14"/>
        <v>0.99999999998145594</v>
      </c>
    </row>
    <row r="52" spans="2:19">
      <c r="B52" s="12"/>
      <c r="C52" s="12"/>
      <c r="D52" s="12"/>
      <c r="E52" s="12"/>
      <c r="F52" s="12"/>
      <c r="G52" s="12"/>
      <c r="H52" s="12"/>
      <c r="P52">
        <f t="shared" si="11"/>
        <v>47</v>
      </c>
      <c r="Q52">
        <f t="shared" si="12"/>
        <v>0.94</v>
      </c>
      <c r="R52">
        <f t="shared" si="13"/>
        <v>1.74082970261224E-11</v>
      </c>
      <c r="S52" s="23">
        <f t="shared" si="14"/>
        <v>0.99999999999886402</v>
      </c>
    </row>
    <row r="53" spans="2:19">
      <c r="B53" s="12"/>
      <c r="C53" s="12"/>
      <c r="D53" s="12"/>
      <c r="E53" s="12"/>
      <c r="F53" s="12"/>
      <c r="G53" s="12"/>
      <c r="H53" s="12"/>
      <c r="P53">
        <f t="shared" si="11"/>
        <v>48</v>
      </c>
      <c r="Q53">
        <f t="shared" si="12"/>
        <v>0.96</v>
      </c>
      <c r="R53">
        <f t="shared" si="13"/>
        <v>1.0880185641326601E-12</v>
      </c>
      <c r="S53" s="23">
        <f t="shared" si="14"/>
        <v>0.99999999999995204</v>
      </c>
    </row>
    <row r="54" spans="2:19">
      <c r="B54" s="12"/>
      <c r="C54" s="12"/>
      <c r="D54" s="12"/>
      <c r="E54" s="12"/>
      <c r="F54" s="12"/>
      <c r="G54" s="12"/>
      <c r="H54" s="12"/>
    </row>
    <row r="55" spans="2:19">
      <c r="B55" s="12"/>
      <c r="C55" s="12"/>
      <c r="D55" s="12"/>
      <c r="E55" s="12"/>
      <c r="F55" s="12"/>
      <c r="G55" s="12"/>
      <c r="H55" s="12"/>
    </row>
    <row r="56" spans="2:19">
      <c r="B56" s="12"/>
      <c r="C56" s="12"/>
      <c r="D56" s="12"/>
      <c r="E56" s="12"/>
      <c r="F56" s="12"/>
      <c r="G56" s="12"/>
      <c r="H56" s="12"/>
    </row>
    <row r="57" spans="2:19">
      <c r="B57" s="12"/>
      <c r="C57" s="12"/>
      <c r="D57" s="12"/>
      <c r="E57" s="12"/>
      <c r="F57" s="12"/>
      <c r="G57" s="12"/>
      <c r="H57" s="12"/>
    </row>
    <row r="58" spans="2:19">
      <c r="B58" s="12"/>
      <c r="C58" s="12"/>
      <c r="D58" s="12"/>
      <c r="E58" s="12"/>
      <c r="F58" s="12"/>
      <c r="G58" s="12"/>
      <c r="H58" s="12"/>
    </row>
    <row r="59" spans="2:19">
      <c r="B59" s="12"/>
      <c r="C59" s="12"/>
      <c r="D59" s="12"/>
      <c r="E59" s="12"/>
      <c r="F59" s="12"/>
      <c r="G59" s="12"/>
      <c r="H59" s="12"/>
    </row>
    <row r="60" spans="2:19">
      <c r="B60" s="12"/>
      <c r="C60" s="12"/>
      <c r="D60" s="12"/>
      <c r="E60" s="12"/>
      <c r="F60" s="12"/>
      <c r="G60" s="12"/>
      <c r="H60" s="12"/>
    </row>
    <row r="61" spans="2:19">
      <c r="B61" s="12"/>
      <c r="C61" s="12"/>
      <c r="D61" s="12"/>
      <c r="E61" s="12"/>
      <c r="F61" s="12"/>
      <c r="G61" s="12"/>
      <c r="H61" s="12"/>
    </row>
    <row r="62" spans="2:19">
      <c r="B62" s="12"/>
      <c r="C62" s="12"/>
      <c r="D62" s="12"/>
      <c r="E62" s="12"/>
      <c r="F62" s="12"/>
      <c r="G62" s="12"/>
      <c r="H62" s="12"/>
    </row>
    <row r="63" spans="2:19">
      <c r="B63" s="12"/>
      <c r="C63" s="12"/>
      <c r="D63" s="12"/>
      <c r="E63" s="12"/>
      <c r="F63" s="12"/>
      <c r="G63" s="12"/>
      <c r="H63" s="12"/>
    </row>
    <row r="64" spans="2:19">
      <c r="B64" s="12"/>
      <c r="C64" s="12"/>
      <c r="D64" s="12"/>
      <c r="E64" s="12"/>
      <c r="F64" s="12"/>
      <c r="G64" s="12"/>
      <c r="H64" s="12"/>
    </row>
    <row r="65" spans="2:8">
      <c r="B65" s="12"/>
      <c r="C65" s="12"/>
      <c r="D65" s="12"/>
      <c r="E65" s="12"/>
      <c r="F65" s="12"/>
      <c r="G65" s="12"/>
      <c r="H65" s="12"/>
    </row>
    <row r="66" spans="2:8">
      <c r="B66" s="12"/>
      <c r="C66" s="12"/>
      <c r="D66" s="12"/>
      <c r="E66" s="12"/>
      <c r="F66" s="12"/>
      <c r="G66" s="12"/>
      <c r="H66" s="12"/>
    </row>
    <row r="67" spans="2:8">
      <c r="B67" s="12"/>
      <c r="C67" s="12"/>
      <c r="D67" s="12"/>
      <c r="E67" s="12"/>
      <c r="F67" s="12"/>
      <c r="G67" s="12"/>
      <c r="H67" s="12"/>
    </row>
    <row r="68" spans="2:8">
      <c r="B68" s="12"/>
      <c r="C68" s="12"/>
      <c r="D68" s="12"/>
      <c r="E68" s="12"/>
      <c r="F68" s="12"/>
      <c r="G68" s="12"/>
      <c r="H68" s="12"/>
    </row>
    <row r="69" spans="2:8">
      <c r="B69" s="12"/>
      <c r="C69" s="12"/>
      <c r="D69" s="12"/>
      <c r="E69" s="12"/>
      <c r="F69" s="12"/>
      <c r="G69" s="12"/>
      <c r="H69" s="12"/>
    </row>
    <row r="70" spans="2:8">
      <c r="B70" s="12"/>
      <c r="C70" s="12"/>
      <c r="D70" s="12"/>
      <c r="E70" s="12"/>
      <c r="F70" s="12"/>
      <c r="G70" s="12"/>
      <c r="H70" s="12"/>
    </row>
    <row r="71" spans="2:8">
      <c r="B71" s="12"/>
      <c r="C71" s="12"/>
      <c r="D71" s="12"/>
      <c r="E71" s="12"/>
      <c r="F71" s="12"/>
      <c r="G71" s="12"/>
      <c r="H71" s="12"/>
    </row>
    <row r="72" spans="2:8">
      <c r="B72" s="12"/>
      <c r="C72" s="12"/>
      <c r="D72" s="12"/>
      <c r="E72" s="12"/>
      <c r="F72" s="12"/>
      <c r="G72" s="12"/>
      <c r="H72" s="12"/>
    </row>
    <row r="73" spans="2:8">
      <c r="B73" s="12"/>
      <c r="C73" s="12"/>
      <c r="D73" s="12"/>
      <c r="E73" s="12"/>
      <c r="F73" s="12"/>
      <c r="G73" s="12"/>
      <c r="H73" s="12"/>
    </row>
    <row r="74" spans="2:8">
      <c r="B74" s="12"/>
      <c r="C74" s="12"/>
      <c r="D74" s="12"/>
      <c r="E74" s="12"/>
      <c r="F74" s="12"/>
      <c r="G74" s="12"/>
      <c r="H74" s="12"/>
    </row>
    <row r="75" spans="2:8">
      <c r="B75" s="12"/>
      <c r="C75" s="12"/>
      <c r="D75" s="12"/>
      <c r="E75" s="12"/>
      <c r="F75" s="12"/>
      <c r="G75" s="12"/>
      <c r="H75" s="12"/>
    </row>
    <row r="76" spans="2:8">
      <c r="B76" s="12"/>
      <c r="C76" s="12"/>
      <c r="D76" s="12"/>
      <c r="E76" s="12"/>
      <c r="F76" s="12"/>
      <c r="G76" s="12"/>
      <c r="H76" s="12"/>
    </row>
    <row r="77" spans="2:8">
      <c r="B77" s="12"/>
      <c r="C77" s="12"/>
      <c r="D77" s="12"/>
      <c r="E77" s="12"/>
      <c r="F77" s="12"/>
      <c r="G77" s="12"/>
      <c r="H77" s="12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N10"/>
  <sheetViews>
    <sheetView workbookViewId="0">
      <selection activeCell="B2" sqref="B2"/>
    </sheetView>
  </sheetViews>
  <sheetFormatPr defaultRowHeight="14.5"/>
  <cols>
    <col min="2" max="2" width="13.6328125" customWidth="1"/>
    <col min="3" max="4" width="11.81640625" bestFit="1" customWidth="1"/>
    <col min="7" max="8" width="12" customWidth="1"/>
  </cols>
  <sheetData>
    <row r="1" spans="1:14">
      <c r="A1" t="s">
        <v>32</v>
      </c>
      <c r="B1" s="9" t="s">
        <v>33</v>
      </c>
    </row>
    <row r="2" spans="1:14">
      <c r="B2" t="s">
        <v>10</v>
      </c>
      <c r="C2" s="5">
        <v>26</v>
      </c>
      <c r="D2" s="5">
        <v>30</v>
      </c>
      <c r="E2" s="5">
        <v>40</v>
      </c>
      <c r="F2" s="5">
        <v>44</v>
      </c>
      <c r="G2" s="5">
        <v>46</v>
      </c>
      <c r="H2" s="5">
        <v>48</v>
      </c>
    </row>
    <row r="3" spans="1:14" ht="17" customHeight="1">
      <c r="B3" t="s">
        <v>1</v>
      </c>
      <c r="C3" s="6">
        <v>0.44400000000000001</v>
      </c>
      <c r="D3" s="5">
        <v>101</v>
      </c>
      <c r="E3" s="3" t="s">
        <v>11</v>
      </c>
      <c r="F3" s="1" t="s">
        <v>12</v>
      </c>
      <c r="G3" s="4" t="s">
        <v>13</v>
      </c>
      <c r="H3" s="2" t="s">
        <v>14</v>
      </c>
      <c r="J3" s="4"/>
      <c r="K3" s="3"/>
      <c r="M3" s="4"/>
      <c r="N3" s="3"/>
    </row>
    <row r="4" spans="1:14">
      <c r="B4" t="s">
        <v>2</v>
      </c>
      <c r="C4" s="7">
        <v>0.99980000000000002</v>
      </c>
      <c r="D4" s="5">
        <v>1.0022</v>
      </c>
      <c r="E4" s="5">
        <v>1.72</v>
      </c>
      <c r="F4" s="5">
        <v>5.2</v>
      </c>
      <c r="G4" s="5">
        <v>15</v>
      </c>
      <c r="H4" s="5">
        <v>87</v>
      </c>
    </row>
    <row r="5" spans="1:14">
      <c r="B5" t="s">
        <v>3</v>
      </c>
      <c r="C5" s="5">
        <v>2.2000000000000002</v>
      </c>
      <c r="D5" s="5">
        <v>3.6</v>
      </c>
      <c r="E5" s="5">
        <v>5.5</v>
      </c>
      <c r="F5" s="5">
        <v>5.0999999999999996</v>
      </c>
      <c r="G5" s="5">
        <v>4.5</v>
      </c>
      <c r="H5" s="5">
        <v>3.5</v>
      </c>
    </row>
    <row r="7" spans="1:14">
      <c r="C7" s="5"/>
      <c r="D7" s="5"/>
      <c r="E7" s="5"/>
      <c r="F7" s="5"/>
      <c r="G7" s="5"/>
      <c r="H7" s="5"/>
    </row>
    <row r="8" spans="1:14">
      <c r="C8" s="6"/>
      <c r="D8" s="5"/>
      <c r="E8" s="3"/>
      <c r="F8" s="1"/>
      <c r="G8" s="4"/>
      <c r="H8" s="2"/>
    </row>
    <row r="10" spans="1:14">
      <c r="B10" s="2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workup</vt:lpstr>
      <vt:lpstr>Per article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2019-02-07T12:09:36Z</dcterms:created>
  <dcterms:modified xsi:type="dcterms:W3CDTF">2019-02-09T02:28:20Z</dcterms:modified>
</cp:coreProperties>
</file>